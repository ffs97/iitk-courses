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125" yWindow="-165" windowWidth="19125" windowHeight="8250"/>
  </bookViews>
  <sheets>
    <sheet name="Q1 and Q2" sheetId="4" r:id="rId1"/>
    <sheet name="Q3" sheetId="6" r:id="rId2"/>
  </sheets>
  <functionGroups builtInGroupCount="17"/>
  <calcPr calcId="144525"/>
</workbook>
</file>

<file path=xl/calcChain.xml><?xml version="1.0" encoding="utf-8"?>
<calcChain xmlns="http://schemas.openxmlformats.org/spreadsheetml/2006/main">
  <c r="D16" i="4" l="1"/>
  <c r="V14" i="6"/>
  <c r="T12" i="6"/>
  <c r="S11" i="6"/>
  <c r="R10" i="6"/>
  <c r="D10" i="6" l="1"/>
  <c r="C14" i="6" s="1"/>
  <c r="J24" i="6"/>
  <c r="F24" i="6"/>
  <c r="J23" i="6"/>
  <c r="J22" i="6"/>
  <c r="N22" i="6" s="1"/>
  <c r="B21" i="6"/>
  <c r="S16" i="6"/>
  <c r="R16" i="6"/>
  <c r="R15" i="6"/>
  <c r="L14" i="6"/>
  <c r="K14" i="6"/>
  <c r="J14" i="6"/>
  <c r="J11" i="6" s="1"/>
  <c r="D13" i="6"/>
  <c r="D20" i="6" s="1"/>
  <c r="C13" i="6"/>
  <c r="C20" i="6" s="1"/>
  <c r="B13" i="6"/>
  <c r="B20" i="6" s="1"/>
  <c r="J12" i="6"/>
  <c r="D11" i="6"/>
  <c r="B26" i="6" s="1"/>
  <c r="R12" i="6"/>
  <c r="N10" i="6"/>
  <c r="R6" i="6"/>
  <c r="Q6" i="6"/>
  <c r="S5" i="6"/>
  <c r="R5" i="6"/>
  <c r="Q5" i="6"/>
  <c r="V4" i="6"/>
  <c r="S4" i="6"/>
  <c r="R4" i="6"/>
  <c r="U4" i="6" s="1"/>
  <c r="E31" i="4"/>
  <c r="D14" i="6" l="1"/>
  <c r="D21" i="6" s="1"/>
  <c r="D15" i="6"/>
  <c r="C15" i="6"/>
  <c r="D18" i="6" s="1"/>
  <c r="T5" i="6"/>
  <c r="V5" i="6" s="1"/>
  <c r="L15" i="6"/>
  <c r="K15" i="6"/>
  <c r="K12" i="6" s="1"/>
  <c r="T14" i="6"/>
  <c r="V10" i="6"/>
  <c r="R11" i="6"/>
  <c r="K26" i="6"/>
  <c r="C21" i="6"/>
  <c r="N11" i="6"/>
  <c r="R14" i="6"/>
  <c r="B25" i="6"/>
  <c r="F25" i="6" s="1"/>
  <c r="L26" i="6"/>
  <c r="C33" i="4"/>
  <c r="E33" i="4"/>
  <c r="D33" i="4"/>
  <c r="K23" i="6" l="1"/>
  <c r="N23" i="6" s="1"/>
  <c r="U5" i="6"/>
  <c r="T6" i="6" s="1"/>
  <c r="V6" i="6" s="1"/>
  <c r="L16" i="6"/>
  <c r="C26" i="6"/>
  <c r="F26" i="6" s="1"/>
  <c r="N12" i="6"/>
  <c r="K24" i="6"/>
  <c r="S15" i="6"/>
  <c r="S14" i="6"/>
  <c r="L27" i="6" l="1"/>
  <c r="U6" i="6"/>
  <c r="W6" i="6" s="1"/>
  <c r="W5" i="6" s="1"/>
  <c r="W4" i="6" s="1"/>
  <c r="N16" i="6"/>
  <c r="N15" i="6" s="1"/>
  <c r="N14" i="6" s="1"/>
  <c r="D22" i="6"/>
  <c r="F22" i="6" s="1"/>
  <c r="F21" i="6" s="1"/>
  <c r="F20" i="6" s="1"/>
  <c r="L24" i="6"/>
  <c r="N24" i="6" s="1"/>
  <c r="N28" i="6" s="1"/>
  <c r="N27" i="6" s="1"/>
  <c r="N26" i="6" s="1"/>
  <c r="S12" i="6"/>
  <c r="T15" i="6" s="1"/>
  <c r="V11" i="6"/>
  <c r="T16" i="6" l="1"/>
  <c r="V12" i="6" l="1"/>
  <c r="V16" i="6" s="1"/>
  <c r="V15" i="6" s="1"/>
  <c r="E35" i="4" l="1"/>
  <c r="D35" i="4"/>
  <c r="C35" i="4"/>
  <c r="E12" i="4"/>
  <c r="E16" i="4" l="1"/>
  <c r="C16" i="4"/>
  <c r="D14" i="4"/>
  <c r="E14" i="4"/>
  <c r="E36" i="4"/>
  <c r="D36" i="4"/>
  <c r="C14" i="4"/>
  <c r="D39" i="4"/>
  <c r="E17" i="4"/>
  <c r="D17" i="4"/>
  <c r="D20" i="4"/>
  <c r="D40" i="4"/>
  <c r="D21" i="4"/>
</calcChain>
</file>

<file path=xl/sharedStrings.xml><?xml version="1.0" encoding="utf-8"?>
<sst xmlns="http://schemas.openxmlformats.org/spreadsheetml/2006/main" count="85" uniqueCount="52">
  <si>
    <t>Step 1</t>
  </si>
  <si>
    <t>Multiplication factor</t>
  </si>
  <si>
    <r>
      <rPr>
        <i/>
        <sz val="11"/>
        <color theme="1"/>
        <rFont val="Times"/>
        <family val="1"/>
      </rPr>
      <t>l</t>
    </r>
    <r>
      <rPr>
        <vertAlign val="subscript"/>
        <sz val="11"/>
        <color theme="1"/>
        <rFont val="Times"/>
        <family val="1"/>
      </rPr>
      <t>21 =</t>
    </r>
  </si>
  <si>
    <t>Forward Elimination</t>
  </si>
  <si>
    <t>Backward Substitution</t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</si>
  <si>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*</t>
    </r>
    <r>
      <rPr>
        <i/>
        <sz val="11"/>
        <color theme="1"/>
        <rFont val="Times New Roman"/>
        <family val="1"/>
      </rPr>
      <t>l</t>
    </r>
    <r>
      <rPr>
        <vertAlign val="subscript"/>
        <sz val="11"/>
        <color theme="1"/>
        <rFont val="Calibri"/>
        <family val="2"/>
        <scheme val="minor"/>
      </rPr>
      <t>21</t>
    </r>
    <r>
      <rPr>
        <sz val="11"/>
        <color theme="1"/>
        <rFont val="Calibri"/>
        <family val="2"/>
        <scheme val="minor"/>
      </rPr>
      <t xml:space="preserve"> =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</si>
  <si>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/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</si>
  <si>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 R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*</t>
    </r>
    <r>
      <rPr>
        <i/>
        <sz val="11"/>
        <color theme="1"/>
        <rFont val="Times New Roman"/>
        <family val="1"/>
      </rPr>
      <t>l</t>
    </r>
    <r>
      <rPr>
        <vertAlign val="subscript"/>
        <sz val="11"/>
        <color theme="1"/>
        <rFont val="Calibri"/>
        <family val="2"/>
        <scheme val="minor"/>
      </rPr>
      <t>21</t>
    </r>
  </si>
  <si>
    <t>Question 1</t>
  </si>
  <si>
    <t>Gauss Elimination without pivoting</t>
  </si>
  <si>
    <t>Significant digits</t>
  </si>
  <si>
    <t>R1</t>
  </si>
  <si>
    <t>R2</t>
  </si>
  <si>
    <t>y</t>
  </si>
  <si>
    <t>x</t>
  </si>
  <si>
    <t>Question 2</t>
  </si>
  <si>
    <t>Excahnge R1 and R2</t>
  </si>
  <si>
    <t>Correct Answer</t>
  </si>
  <si>
    <t>x = 10</t>
  </si>
  <si>
    <t>y = 1</t>
  </si>
  <si>
    <t>Question 3</t>
  </si>
  <si>
    <t>Gauss Elimination</t>
  </si>
  <si>
    <t>Step 2</t>
  </si>
  <si>
    <t>L =</t>
  </si>
  <si>
    <t xml:space="preserve">U = </t>
  </si>
  <si>
    <t>y1=</t>
  </si>
  <si>
    <t>y2=</t>
  </si>
  <si>
    <t>y3=</t>
  </si>
  <si>
    <t>x1=</t>
  </si>
  <si>
    <t>x2=</t>
  </si>
  <si>
    <t>x3=</t>
  </si>
  <si>
    <t xml:space="preserve">Doolittle </t>
  </si>
  <si>
    <r>
      <rPr>
        <i/>
        <sz val="11"/>
        <color theme="1"/>
        <rFont val="Times New Roman"/>
        <family val="1"/>
      </rPr>
      <t>l</t>
    </r>
    <r>
      <rPr>
        <sz val="11"/>
        <color theme="1"/>
        <rFont val="Times New Roman"/>
        <family val="1"/>
      </rPr>
      <t>21</t>
    </r>
  </si>
  <si>
    <r>
      <rPr>
        <i/>
        <sz val="11"/>
        <color theme="1"/>
        <rFont val="Times New Roman"/>
        <family val="1"/>
      </rPr>
      <t>l</t>
    </r>
    <r>
      <rPr>
        <sz val="11"/>
        <color theme="1"/>
        <rFont val="Times New Roman"/>
        <family val="1"/>
      </rPr>
      <t>31</t>
    </r>
  </si>
  <si>
    <r>
      <rPr>
        <i/>
        <sz val="11"/>
        <color theme="1"/>
        <rFont val="Times New Roman"/>
        <family val="1"/>
      </rPr>
      <t>l</t>
    </r>
    <r>
      <rPr>
        <sz val="11"/>
        <color theme="1"/>
        <rFont val="Times New Roman"/>
        <family val="1"/>
      </rPr>
      <t>32</t>
    </r>
  </si>
  <si>
    <t>Estimation in following order: u11, u12, u13, l21, l31, u22, u23, l32, u33</t>
  </si>
  <si>
    <t>L=</t>
  </si>
  <si>
    <t>U=</t>
  </si>
  <si>
    <t xml:space="preserve">Crout </t>
  </si>
  <si>
    <t>Estimation in following order: l11, l21, l31, u12, u13, l22, l32, u23, l33</t>
  </si>
  <si>
    <t>Thomson Algorithm</t>
  </si>
  <si>
    <t>i</t>
  </si>
  <si>
    <t>l</t>
  </si>
  <si>
    <t>u</t>
  </si>
  <si>
    <t>d</t>
  </si>
  <si>
    <t>alpha</t>
  </si>
  <si>
    <t>beta</t>
  </si>
  <si>
    <t>lambda</t>
  </si>
  <si>
    <t>Cholesky Algorithm</t>
  </si>
  <si>
    <t xml:space="preserve">L = </t>
  </si>
  <si>
    <t>Estimation in following order: l11, l21, l22, l31, l32, l33</t>
  </si>
  <si>
    <t>Gauss Elimination with pivoting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</si>
</sst>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7" formatCode="0.00000000"/>
    <numFmt numFmtId="168" formatCode="0.000E+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"/>
      <family val="1"/>
    </font>
    <font>
      <i/>
      <sz val="11"/>
      <color theme="1"/>
      <name val="Times"/>
      <family val="1"/>
    </font>
    <font>
      <vertAlign val="subscript"/>
      <sz val="11"/>
      <color theme="1"/>
      <name val="Times"/>
      <family val="1"/>
    </font>
    <font>
      <vertAlign val="subscript"/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2" fillId="0" borderId="0" xfId="0" applyFont="1"/>
    <xf numFmtId="167" fontId="0" fillId="0" borderId="0" xfId="0" applyNumberFormat="1"/>
    <xf numFmtId="0" fontId="7" fillId="0" borderId="0" xfId="0" applyFont="1"/>
    <xf numFmtId="0" fontId="8" fillId="0" borderId="0" xfId="0" applyFont="1"/>
    <xf numFmtId="0" fontId="9" fillId="0" borderId="1" xfId="0" applyFont="1" applyBorder="1"/>
    <xf numFmtId="0" fontId="0" fillId="0" borderId="2" xfId="0" applyBorder="1"/>
    <xf numFmtId="0" fontId="0" fillId="0" borderId="3" xfId="0" applyBorder="1"/>
    <xf numFmtId="0" fontId="10" fillId="0" borderId="0" xfId="0" applyFont="1"/>
    <xf numFmtId="0" fontId="11" fillId="0" borderId="0" xfId="0" applyFont="1"/>
    <xf numFmtId="1" fontId="10" fillId="0" borderId="0" xfId="0" applyNumberFormat="1" applyFont="1"/>
    <xf numFmtId="167" fontId="10" fillId="0" borderId="0" xfId="0" applyNumberFormat="1" applyFont="1"/>
    <xf numFmtId="0" fontId="11" fillId="0" borderId="4" xfId="0" applyFont="1" applyBorder="1"/>
    <xf numFmtId="0" fontId="11" fillId="0" borderId="5" xfId="0" applyFont="1" applyBorder="1"/>
    <xf numFmtId="0" fontId="10" fillId="0" borderId="5" xfId="0" applyFont="1" applyBorder="1"/>
    <xf numFmtId="0" fontId="10" fillId="0" borderId="6" xfId="0" applyFont="1" applyBorder="1"/>
    <xf numFmtId="0" fontId="10" fillId="0" borderId="7" xfId="0" applyFont="1" applyBorder="1"/>
    <xf numFmtId="0" fontId="10" fillId="0" borderId="0" xfId="0" applyFont="1" applyBorder="1"/>
    <xf numFmtId="0" fontId="10" fillId="0" borderId="8" xfId="0" applyFont="1" applyBorder="1"/>
    <xf numFmtId="0" fontId="6" fillId="0" borderId="0" xfId="0" applyFont="1" applyBorder="1"/>
    <xf numFmtId="0" fontId="10" fillId="0" borderId="0" xfId="0" applyNumberFormat="1" applyFont="1" applyBorder="1"/>
    <xf numFmtId="0" fontId="11" fillId="0" borderId="7" xfId="0" applyFont="1" applyBorder="1"/>
    <xf numFmtId="0" fontId="10" fillId="0" borderId="0" xfId="0" applyFont="1" applyBorder="1" applyAlignment="1">
      <alignment horizontal="right"/>
    </xf>
    <xf numFmtId="0" fontId="10" fillId="0" borderId="9" xfId="0" applyFont="1" applyBorder="1"/>
    <xf numFmtId="0" fontId="10" fillId="0" borderId="10" xfId="0" applyFont="1" applyBorder="1"/>
    <xf numFmtId="0" fontId="10" fillId="0" borderId="11" xfId="0" applyFont="1" applyBorder="1"/>
    <xf numFmtId="0" fontId="11" fillId="0" borderId="0" xfId="0" applyFont="1" applyBorder="1"/>
    <xf numFmtId="0" fontId="10" fillId="0" borderId="7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164" fontId="10" fillId="0" borderId="0" xfId="0" applyNumberFormat="1" applyFont="1" applyBorder="1"/>
    <xf numFmtId="165" fontId="10" fillId="0" borderId="0" xfId="0" applyNumberFormat="1" applyFont="1" applyBorder="1"/>
    <xf numFmtId="0" fontId="0" fillId="2" borderId="0" xfId="0" applyFill="1"/>
    <xf numFmtId="168" fontId="0" fillId="0" borderId="0" xfId="0" applyNumberFormat="1"/>
    <xf numFmtId="168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2</xdr:row>
          <xdr:rowOff>19050</xdr:rowOff>
        </xdr:from>
        <xdr:to>
          <xdr:col>2</xdr:col>
          <xdr:colOff>1164166</xdr:colOff>
          <xdr:row>4</xdr:row>
          <xdr:rowOff>84667</xdr:rowOff>
        </xdr:to>
        <xdr:sp macro="" textlink="">
          <xdr:nvSpPr>
            <xdr:cNvPr id="5121" name="Object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40"/>
  <sheetViews>
    <sheetView tabSelected="1" zoomScale="90" zoomScaleNormal="90" workbookViewId="0">
      <selection activeCell="H9" sqref="H9"/>
    </sheetView>
  </sheetViews>
  <sheetFormatPr defaultRowHeight="15" x14ac:dyDescent="0.25"/>
  <cols>
    <col min="3" max="3" width="32.5703125" bestFit="1" customWidth="1"/>
    <col min="4" max="4" width="10.42578125" customWidth="1"/>
    <col min="5" max="5" width="11" customWidth="1"/>
    <col min="6" max="6" width="11.28515625" bestFit="1" customWidth="1"/>
    <col min="7" max="7" width="15.7109375" bestFit="1" customWidth="1"/>
    <col min="8" max="8" width="5.140625" customWidth="1"/>
  </cols>
  <sheetData>
    <row r="1" spans="1:8" ht="18.75" x14ac:dyDescent="0.3">
      <c r="A1" s="5" t="s">
        <v>8</v>
      </c>
      <c r="C1" t="s">
        <v>9</v>
      </c>
      <c r="G1" s="6" t="s">
        <v>17</v>
      </c>
    </row>
    <row r="2" spans="1:8" x14ac:dyDescent="0.25">
      <c r="G2" s="7" t="s">
        <v>18</v>
      </c>
    </row>
    <row r="3" spans="1:8" ht="15.75" thickBot="1" x14ac:dyDescent="0.3">
      <c r="G3" s="8" t="s">
        <v>19</v>
      </c>
    </row>
    <row r="8" spans="1:8" x14ac:dyDescent="0.25">
      <c r="B8" t="s">
        <v>11</v>
      </c>
      <c r="C8" s="36">
        <v>3.0000000000000001E-3</v>
      </c>
      <c r="D8" s="36">
        <v>59.14</v>
      </c>
      <c r="E8" s="36">
        <v>59.17</v>
      </c>
      <c r="G8" s="4" t="s">
        <v>10</v>
      </c>
      <c r="H8">
        <v>4</v>
      </c>
    </row>
    <row r="9" spans="1:8" x14ac:dyDescent="0.25">
      <c r="B9" t="s">
        <v>12</v>
      </c>
      <c r="C9" s="36">
        <v>5.2910000000000004</v>
      </c>
      <c r="D9" s="36">
        <v>-6.13</v>
      </c>
      <c r="E9" s="36">
        <v>46.78</v>
      </c>
    </row>
    <row r="11" spans="1:8" x14ac:dyDescent="0.25">
      <c r="A11" s="1" t="s">
        <v>3</v>
      </c>
      <c r="B11" s="1"/>
    </row>
    <row r="12" spans="1:8" ht="16.5" x14ac:dyDescent="0.3">
      <c r="B12" t="s">
        <v>1</v>
      </c>
      <c r="D12" s="2" t="s">
        <v>2</v>
      </c>
      <c r="E12" s="36">
        <f>RS(C9/C8,H8)</f>
        <v>1764</v>
      </c>
      <c r="F12" s="3"/>
    </row>
    <row r="13" spans="1:8" x14ac:dyDescent="0.25">
      <c r="D13" s="2"/>
    </row>
    <row r="14" spans="1:8" ht="18" x14ac:dyDescent="0.35">
      <c r="B14" t="s">
        <v>5</v>
      </c>
      <c r="C14" s="36">
        <f>RS(C8*$E$12,$H$8)</f>
        <v>5.2919999999999998</v>
      </c>
      <c r="D14" s="36">
        <f>RS(D8*$E$12,$H$8)</f>
        <v>104300</v>
      </c>
      <c r="E14" s="36">
        <f>RS(E8*$E$12,$H$8)</f>
        <v>104400</v>
      </c>
    </row>
    <row r="15" spans="1:8" x14ac:dyDescent="0.25">
      <c r="D15" s="2"/>
    </row>
    <row r="16" spans="1:8" ht="18" x14ac:dyDescent="0.35">
      <c r="B16" t="s">
        <v>6</v>
      </c>
      <c r="C16" s="36">
        <f>C8</f>
        <v>3.0000000000000001E-3</v>
      </c>
      <c r="D16" s="36">
        <f>D8</f>
        <v>59.14</v>
      </c>
      <c r="E16" s="36">
        <f>E8</f>
        <v>59.17</v>
      </c>
    </row>
    <row r="17" spans="1:6" ht="18" x14ac:dyDescent="0.35">
      <c r="B17" t="s">
        <v>7</v>
      </c>
      <c r="D17" s="36">
        <f>RS(D9-D14,H8)</f>
        <v>-104300</v>
      </c>
      <c r="E17" s="36">
        <f>RS(E9-E14,H8)</f>
        <v>-104400</v>
      </c>
    </row>
    <row r="19" spans="1:6" x14ac:dyDescent="0.25">
      <c r="A19" s="1" t="s">
        <v>4</v>
      </c>
    </row>
    <row r="20" spans="1:6" x14ac:dyDescent="0.25">
      <c r="C20" t="s">
        <v>13</v>
      </c>
      <c r="D20" s="36">
        <f>RS(E17/D17,H8)</f>
        <v>1.0009999999999999</v>
      </c>
    </row>
    <row r="21" spans="1:6" x14ac:dyDescent="0.25">
      <c r="C21" t="s">
        <v>14</v>
      </c>
      <c r="D21" s="36">
        <f>RS(RS(E16-RS(D16*D20,H8),H8)/C16,H8)</f>
        <v>-10</v>
      </c>
    </row>
    <row r="23" spans="1:6" ht="18.75" x14ac:dyDescent="0.3">
      <c r="A23" s="5" t="s">
        <v>15</v>
      </c>
      <c r="C23" t="s">
        <v>51</v>
      </c>
    </row>
    <row r="25" spans="1:6" x14ac:dyDescent="0.25">
      <c r="A25" t="s">
        <v>16</v>
      </c>
    </row>
    <row r="26" spans="1:6" x14ac:dyDescent="0.25">
      <c r="B26" t="s">
        <v>11</v>
      </c>
      <c r="C26" s="36">
        <v>5.2910000000000004</v>
      </c>
      <c r="D26" s="36">
        <v>-6.13</v>
      </c>
      <c r="E26" s="36">
        <v>46.78</v>
      </c>
    </row>
    <row r="27" spans="1:6" x14ac:dyDescent="0.25">
      <c r="B27" t="s">
        <v>12</v>
      </c>
      <c r="C27" s="36">
        <v>3.0000000000000001E-3</v>
      </c>
      <c r="D27" s="36">
        <v>59.14</v>
      </c>
      <c r="E27" s="36">
        <v>59.17</v>
      </c>
    </row>
    <row r="30" spans="1:6" x14ac:dyDescent="0.25">
      <c r="A30" s="1" t="s">
        <v>3</v>
      </c>
      <c r="B30" s="1"/>
    </row>
    <row r="31" spans="1:6" ht="16.5" x14ac:dyDescent="0.3">
      <c r="B31" t="s">
        <v>1</v>
      </c>
      <c r="D31" s="2" t="s">
        <v>2</v>
      </c>
      <c r="E31" s="36">
        <f>RS(C27/C26,H8)</f>
        <v>5.6700000000000001E-4</v>
      </c>
      <c r="F31" s="3"/>
    </row>
    <row r="32" spans="1:6" x14ac:dyDescent="0.25">
      <c r="D32" s="2"/>
    </row>
    <row r="33" spans="1:5" ht="18" x14ac:dyDescent="0.35">
      <c r="B33" s="35" t="s">
        <v>5</v>
      </c>
      <c r="C33" s="37">
        <f>RS(C26*$E$31,$H$8)</f>
        <v>3.0000000000000001E-3</v>
      </c>
      <c r="D33" s="37">
        <f t="shared" ref="D33:E33" si="0">RS(D26*$E$31,$H$8)</f>
        <v>-3.4760000000000004E-3</v>
      </c>
      <c r="E33" s="37">
        <f t="shared" si="0"/>
        <v>2.6520000000000002E-2</v>
      </c>
    </row>
    <row r="34" spans="1:5" x14ac:dyDescent="0.25">
      <c r="D34" s="2"/>
    </row>
    <row r="35" spans="1:5" ht="18" x14ac:dyDescent="0.35">
      <c r="B35" t="s">
        <v>6</v>
      </c>
      <c r="C35" s="36">
        <f>C26</f>
        <v>5.2910000000000004</v>
      </c>
      <c r="D35" s="36">
        <f>D26</f>
        <v>-6.13</v>
      </c>
      <c r="E35" s="36">
        <f>E26</f>
        <v>46.78</v>
      </c>
    </row>
    <row r="36" spans="1:5" ht="18" x14ac:dyDescent="0.35">
      <c r="B36" t="s">
        <v>7</v>
      </c>
      <c r="D36" s="36">
        <f>RS(D27-D33,H8)</f>
        <v>59.14</v>
      </c>
      <c r="E36" s="36">
        <f>RS(E27-E33,H8)</f>
        <v>59.14</v>
      </c>
    </row>
    <row r="38" spans="1:5" x14ac:dyDescent="0.25">
      <c r="A38" s="1" t="s">
        <v>4</v>
      </c>
    </row>
    <row r="39" spans="1:5" x14ac:dyDescent="0.25">
      <c r="C39" t="s">
        <v>13</v>
      </c>
      <c r="D39" s="36">
        <f>RS(E36/D36,H8)</f>
        <v>1</v>
      </c>
    </row>
    <row r="40" spans="1:5" x14ac:dyDescent="0.25">
      <c r="C40" t="s">
        <v>14</v>
      </c>
      <c r="D40" s="36">
        <f>RS(RS(E35-RS(D35*D39,H8),H8)/C35,H8)</f>
        <v>10</v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5121" r:id="rId4">
          <objectPr defaultSize="0" autoPict="0" r:id="rId5">
            <anchor moveWithCells="1" sizeWithCells="1">
              <from>
                <xdr:col>1</xdr:col>
                <xdr:colOff>209550</xdr:colOff>
                <xdr:row>2</xdr:row>
                <xdr:rowOff>19050</xdr:rowOff>
              </from>
              <to>
                <xdr:col>2</xdr:col>
                <xdr:colOff>1162050</xdr:colOff>
                <xdr:row>4</xdr:row>
                <xdr:rowOff>85725</xdr:rowOff>
              </to>
            </anchor>
          </objectPr>
        </oleObject>
      </mc:Choice>
      <mc:Fallback>
        <oleObject progId="Equation.DSMT4" shapeId="512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86"/>
  <sheetViews>
    <sheetView topLeftCell="B1" zoomScale="112" zoomScaleNormal="112" workbookViewId="0">
      <selection activeCell="V15" sqref="V15"/>
    </sheetView>
  </sheetViews>
  <sheetFormatPr defaultRowHeight="15" x14ac:dyDescent="0.25"/>
  <sheetData>
    <row r="1" spans="1:26" x14ac:dyDescent="0.25">
      <c r="A1" s="9" t="s">
        <v>20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3" t="s">
        <v>40</v>
      </c>
      <c r="Q1" s="15"/>
      <c r="R1" s="15"/>
      <c r="S1" s="15"/>
      <c r="T1" s="15"/>
      <c r="U1" s="15"/>
      <c r="V1" s="15"/>
      <c r="W1" s="15"/>
      <c r="X1" s="16"/>
      <c r="Y1" s="9"/>
      <c r="Z1" s="9"/>
    </row>
    <row r="2" spans="1:26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17"/>
      <c r="Q2" s="18"/>
      <c r="R2" s="18"/>
      <c r="S2" s="18"/>
      <c r="T2" s="18"/>
      <c r="U2" s="18"/>
      <c r="V2" s="18"/>
      <c r="W2" s="18"/>
      <c r="X2" s="19"/>
      <c r="Y2" s="9"/>
      <c r="Z2" s="9"/>
    </row>
    <row r="3" spans="1:26" x14ac:dyDescent="0.25">
      <c r="A3" s="9"/>
      <c r="B3" s="9">
        <v>5</v>
      </c>
      <c r="C3" s="9">
        <v>1</v>
      </c>
      <c r="D3" s="9">
        <v>0</v>
      </c>
      <c r="E3" s="9">
        <v>7</v>
      </c>
      <c r="F3" s="9"/>
      <c r="G3" s="9"/>
      <c r="H3" s="9"/>
      <c r="I3" s="9"/>
      <c r="J3" s="9"/>
      <c r="K3" s="9"/>
      <c r="L3" s="9"/>
      <c r="M3" s="9"/>
      <c r="N3" s="9"/>
      <c r="O3" s="9"/>
      <c r="P3" s="28" t="s">
        <v>41</v>
      </c>
      <c r="Q3" s="32" t="s">
        <v>42</v>
      </c>
      <c r="R3" s="29" t="s">
        <v>44</v>
      </c>
      <c r="S3" s="29" t="s">
        <v>43</v>
      </c>
      <c r="T3" s="29" t="s">
        <v>47</v>
      </c>
      <c r="U3" s="29" t="s">
        <v>45</v>
      </c>
      <c r="V3" s="29" t="s">
        <v>46</v>
      </c>
      <c r="W3" s="29" t="s">
        <v>14</v>
      </c>
      <c r="X3" s="19"/>
      <c r="Y3" s="9"/>
      <c r="Z3" s="9"/>
    </row>
    <row r="4" spans="1:26" x14ac:dyDescent="0.25">
      <c r="A4" s="10"/>
      <c r="B4" s="9">
        <v>1</v>
      </c>
      <c r="C4" s="9">
        <v>5</v>
      </c>
      <c r="D4" s="9">
        <v>1</v>
      </c>
      <c r="E4" s="9">
        <v>14</v>
      </c>
      <c r="F4" s="9"/>
      <c r="G4" s="9"/>
      <c r="H4" s="9"/>
      <c r="I4" s="9"/>
      <c r="J4" s="9"/>
      <c r="K4" s="9"/>
      <c r="L4" s="9"/>
      <c r="M4" s="9"/>
      <c r="N4" s="9"/>
      <c r="O4" s="9"/>
      <c r="P4" s="28">
        <v>1</v>
      </c>
      <c r="Q4" s="29"/>
      <c r="R4" s="29">
        <f>B3</f>
        <v>5</v>
      </c>
      <c r="S4" s="29">
        <f>C3</f>
        <v>1</v>
      </c>
      <c r="T4" s="29"/>
      <c r="U4" s="29">
        <f>R4</f>
        <v>5</v>
      </c>
      <c r="V4" s="29">
        <f>E3</f>
        <v>7</v>
      </c>
      <c r="W4" s="29">
        <f>(V4-S4*W5)/U4</f>
        <v>1</v>
      </c>
      <c r="X4" s="19"/>
      <c r="Y4" s="9"/>
      <c r="Z4" s="9"/>
    </row>
    <row r="5" spans="1:26" x14ac:dyDescent="0.25">
      <c r="A5" s="9"/>
      <c r="B5" s="9">
        <v>0</v>
      </c>
      <c r="C5" s="9">
        <v>1</v>
      </c>
      <c r="D5" s="9">
        <v>5</v>
      </c>
      <c r="E5" s="11">
        <v>17</v>
      </c>
      <c r="F5" s="12"/>
      <c r="G5" s="9"/>
      <c r="H5" s="9"/>
      <c r="I5" s="9"/>
      <c r="J5" s="9"/>
      <c r="K5" s="9"/>
      <c r="L5" s="9"/>
      <c r="M5" s="9"/>
      <c r="N5" s="9"/>
      <c r="O5" s="9"/>
      <c r="P5" s="28">
        <v>2</v>
      </c>
      <c r="Q5" s="29">
        <f>B4</f>
        <v>1</v>
      </c>
      <c r="R5" s="29">
        <f>C4</f>
        <v>5</v>
      </c>
      <c r="S5" s="29">
        <f>D4</f>
        <v>1</v>
      </c>
      <c r="T5" s="29">
        <f>Q5/U4</f>
        <v>0.2</v>
      </c>
      <c r="U5" s="29">
        <f>R5-T5*S4</f>
        <v>4.8</v>
      </c>
      <c r="V5" s="29">
        <f>E4-T5*V4</f>
        <v>12.6</v>
      </c>
      <c r="W5" s="29">
        <f>(V5-S5*W6)/U5</f>
        <v>2</v>
      </c>
      <c r="X5" s="19"/>
      <c r="Y5" s="9"/>
      <c r="Z5" s="9"/>
    </row>
    <row r="6" spans="1:26" ht="15.75" thickBot="1" x14ac:dyDescent="0.3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30">
        <v>3</v>
      </c>
      <c r="Q6" s="31">
        <f>C5</f>
        <v>1</v>
      </c>
      <c r="R6" s="31">
        <f>D5</f>
        <v>5</v>
      </c>
      <c r="S6" s="31"/>
      <c r="T6" s="31">
        <f>Q6/U5</f>
        <v>0.20833333333333334</v>
      </c>
      <c r="U6" s="31">
        <f>R6-T6*S5</f>
        <v>4.791666666666667</v>
      </c>
      <c r="V6" s="31">
        <f>E5-T6*V5</f>
        <v>14.375</v>
      </c>
      <c r="W6" s="31">
        <f>V6/U6</f>
        <v>3</v>
      </c>
      <c r="X6" s="26"/>
      <c r="Y6" s="9"/>
      <c r="Z6" s="9"/>
    </row>
    <row r="7" spans="1:26" x14ac:dyDescent="0.25">
      <c r="A7" s="13" t="s">
        <v>21</v>
      </c>
      <c r="B7" s="14"/>
      <c r="C7" s="15"/>
      <c r="D7" s="15"/>
      <c r="E7" s="15"/>
      <c r="F7" s="15"/>
      <c r="G7" s="16"/>
      <c r="H7" s="13" t="s">
        <v>31</v>
      </c>
      <c r="I7" s="15"/>
      <c r="J7" s="15"/>
      <c r="K7" s="15"/>
      <c r="L7" s="15"/>
      <c r="M7" s="15"/>
      <c r="N7" s="15"/>
      <c r="O7" s="16"/>
      <c r="P7" s="13" t="s">
        <v>48</v>
      </c>
      <c r="Q7" s="15"/>
      <c r="R7" s="15"/>
      <c r="S7" s="15"/>
      <c r="T7" s="15"/>
      <c r="U7" s="15"/>
      <c r="V7" s="15"/>
      <c r="W7" s="15"/>
      <c r="X7" s="16"/>
      <c r="Y7" s="9"/>
      <c r="Z7" s="9"/>
    </row>
    <row r="8" spans="1:26" x14ac:dyDescent="0.25">
      <c r="A8" s="17"/>
      <c r="B8" s="18"/>
      <c r="C8" s="18"/>
      <c r="D8" s="18"/>
      <c r="E8" s="18"/>
      <c r="F8" s="18"/>
      <c r="G8" s="19"/>
      <c r="H8" s="17"/>
      <c r="I8" s="18" t="s">
        <v>35</v>
      </c>
      <c r="J8" s="18"/>
      <c r="K8" s="18"/>
      <c r="L8" s="18"/>
      <c r="M8" s="18"/>
      <c r="N8" s="18"/>
      <c r="O8" s="19"/>
      <c r="P8" s="17"/>
      <c r="Q8" s="18" t="s">
        <v>50</v>
      </c>
      <c r="R8" s="18"/>
      <c r="S8" s="18"/>
      <c r="T8" s="18"/>
      <c r="U8" s="18"/>
      <c r="V8" s="18"/>
      <c r="W8" s="18"/>
      <c r="X8" s="19"/>
      <c r="Y8" s="9"/>
      <c r="Z8" s="9"/>
    </row>
    <row r="9" spans="1:26" x14ac:dyDescent="0.25">
      <c r="A9" s="17"/>
      <c r="B9" s="20" t="s">
        <v>0</v>
      </c>
      <c r="C9" s="18"/>
      <c r="D9" s="18"/>
      <c r="E9" s="18"/>
      <c r="F9" s="18"/>
      <c r="G9" s="19"/>
      <c r="H9" s="17"/>
      <c r="I9" s="18"/>
      <c r="J9" s="18"/>
      <c r="K9" s="18"/>
      <c r="L9" s="18"/>
      <c r="M9" s="18"/>
      <c r="N9" s="18"/>
      <c r="O9" s="19"/>
      <c r="P9" s="17"/>
      <c r="Q9" s="18"/>
      <c r="R9" s="18"/>
      <c r="S9" s="18"/>
      <c r="T9" s="18"/>
      <c r="U9" s="18"/>
      <c r="V9" s="18"/>
      <c r="W9" s="18"/>
      <c r="X9" s="19"/>
      <c r="Y9" s="9"/>
      <c r="Z9" s="9"/>
    </row>
    <row r="10" spans="1:26" x14ac:dyDescent="0.25">
      <c r="A10" s="17"/>
      <c r="B10" s="18"/>
      <c r="C10" s="18" t="s">
        <v>32</v>
      </c>
      <c r="D10" s="21">
        <f>B4/B3</f>
        <v>0.2</v>
      </c>
      <c r="E10" s="18"/>
      <c r="F10" s="18"/>
      <c r="G10" s="19"/>
      <c r="H10" s="17"/>
      <c r="I10" s="18"/>
      <c r="J10" s="18">
        <v>1</v>
      </c>
      <c r="K10" s="18">
        <v>0</v>
      </c>
      <c r="L10" s="18">
        <v>0</v>
      </c>
      <c r="M10" s="23" t="s">
        <v>25</v>
      </c>
      <c r="N10" s="18">
        <f>$E$3</f>
        <v>7</v>
      </c>
      <c r="O10" s="19"/>
      <c r="P10" s="17"/>
      <c r="Q10" s="18"/>
      <c r="R10" s="18">
        <f>-SQRT(B3)</f>
        <v>-2.2360679774997898</v>
      </c>
      <c r="S10" s="18">
        <v>0</v>
      </c>
      <c r="T10" s="18">
        <v>0</v>
      </c>
      <c r="U10" s="23" t="s">
        <v>25</v>
      </c>
      <c r="V10" s="18">
        <f>$E$3/R10</f>
        <v>-3.1304951684997055</v>
      </c>
      <c r="W10" s="18"/>
      <c r="X10" s="19"/>
      <c r="Y10" s="9"/>
      <c r="Z10" s="9"/>
    </row>
    <row r="11" spans="1:26" x14ac:dyDescent="0.25">
      <c r="A11" s="17"/>
      <c r="B11" s="18"/>
      <c r="C11" s="18" t="s">
        <v>33</v>
      </c>
      <c r="D11" s="18">
        <f>B5/B3</f>
        <v>0</v>
      </c>
      <c r="E11" s="18"/>
      <c r="F11" s="18"/>
      <c r="G11" s="19"/>
      <c r="H11" s="17"/>
      <c r="I11" s="27" t="s">
        <v>36</v>
      </c>
      <c r="J11" s="18">
        <f>B4/J14</f>
        <v>0.2</v>
      </c>
      <c r="K11" s="18">
        <v>1</v>
      </c>
      <c r="L11" s="18">
        <v>0</v>
      </c>
      <c r="M11" s="23" t="s">
        <v>26</v>
      </c>
      <c r="N11" s="18">
        <f>($E$4-N10*J11)</f>
        <v>12.6</v>
      </c>
      <c r="O11" s="19"/>
      <c r="P11" s="17"/>
      <c r="Q11" s="27" t="s">
        <v>49</v>
      </c>
      <c r="R11" s="18">
        <f>B4/R10</f>
        <v>-0.44721359549995793</v>
      </c>
      <c r="S11" s="33">
        <f>-SQRT(C4-R11^2)</f>
        <v>-2.1908902300206643</v>
      </c>
      <c r="T11" s="18">
        <v>0</v>
      </c>
      <c r="U11" s="23" t="s">
        <v>26</v>
      </c>
      <c r="V11" s="18">
        <f>($E$4-V10*R11)/S11</f>
        <v>-5.7510868538042441</v>
      </c>
      <c r="W11" s="18"/>
      <c r="X11" s="19"/>
      <c r="Y11" s="9"/>
      <c r="Z11" s="9"/>
    </row>
    <row r="12" spans="1:26" x14ac:dyDescent="0.25">
      <c r="A12" s="22"/>
      <c r="B12" s="18"/>
      <c r="C12" s="18"/>
      <c r="D12" s="18"/>
      <c r="E12" s="18"/>
      <c r="F12" s="18"/>
      <c r="G12" s="19"/>
      <c r="H12" s="17"/>
      <c r="I12" s="18"/>
      <c r="J12" s="18">
        <f>B5/J14</f>
        <v>0</v>
      </c>
      <c r="K12" s="33">
        <f>(C5-J12*K14)/K15</f>
        <v>0.20833333333333334</v>
      </c>
      <c r="L12" s="18">
        <v>1</v>
      </c>
      <c r="M12" s="23" t="s">
        <v>27</v>
      </c>
      <c r="N12" s="18">
        <f>($E$5-N10*J12-N11*K12)</f>
        <v>14.375</v>
      </c>
      <c r="O12" s="19"/>
      <c r="P12" s="17"/>
      <c r="Q12" s="18"/>
      <c r="R12" s="18">
        <f>B5/R10</f>
        <v>0</v>
      </c>
      <c r="S12" s="33">
        <f>(C5-R11*R12)/S11</f>
        <v>-0.45643546458763845</v>
      </c>
      <c r="T12" s="18">
        <f>-SQRT(D5-R12^2-S12^2)</f>
        <v>-2.188987589427283</v>
      </c>
      <c r="U12" s="23" t="s">
        <v>27</v>
      </c>
      <c r="V12" s="18">
        <f>($E$5-V10*R12-V11*S12)/T12</f>
        <v>-6.5669627682818481</v>
      </c>
      <c r="W12" s="18"/>
      <c r="X12" s="19"/>
      <c r="Y12" s="9"/>
      <c r="Z12" s="9"/>
    </row>
    <row r="13" spans="1:26" x14ac:dyDescent="0.25">
      <c r="A13" s="17"/>
      <c r="B13" s="18">
        <f>B3</f>
        <v>5</v>
      </c>
      <c r="C13" s="18">
        <f t="shared" ref="C13:D13" si="0">C3</f>
        <v>1</v>
      </c>
      <c r="D13" s="18">
        <f t="shared" si="0"/>
        <v>0</v>
      </c>
      <c r="E13" s="18"/>
      <c r="F13" s="18"/>
      <c r="G13" s="19"/>
      <c r="H13" s="17"/>
      <c r="I13" s="18"/>
      <c r="J13" s="18"/>
      <c r="K13" s="18"/>
      <c r="L13" s="18"/>
      <c r="M13" s="18"/>
      <c r="N13" s="18"/>
      <c r="O13" s="19"/>
      <c r="P13" s="17"/>
      <c r="Q13" s="18"/>
      <c r="R13" s="18"/>
      <c r="S13" s="18"/>
      <c r="T13" s="18"/>
      <c r="U13" s="18"/>
      <c r="V13" s="18"/>
      <c r="W13" s="18"/>
      <c r="X13" s="19"/>
      <c r="Y13" s="9"/>
      <c r="Z13" s="9"/>
    </row>
    <row r="14" spans="1:26" x14ac:dyDescent="0.25">
      <c r="A14" s="17"/>
      <c r="B14" s="18">
        <v>0</v>
      </c>
      <c r="C14" s="18">
        <f>C4-$D$10*C3</f>
        <v>4.8</v>
      </c>
      <c r="D14" s="18">
        <f t="shared" ref="D14" si="1">D4-$D$10*D3</f>
        <v>1</v>
      </c>
      <c r="E14" s="18"/>
      <c r="F14" s="18"/>
      <c r="G14" s="19"/>
      <c r="H14" s="17"/>
      <c r="I14" s="18"/>
      <c r="J14" s="18">
        <f>B3</f>
        <v>5</v>
      </c>
      <c r="K14" s="18">
        <f>C3</f>
        <v>1</v>
      </c>
      <c r="L14" s="18">
        <f>D3</f>
        <v>0</v>
      </c>
      <c r="M14" s="23" t="s">
        <v>28</v>
      </c>
      <c r="N14" s="18">
        <f>(N10-N15*K14-L14*N16)/J14</f>
        <v>1</v>
      </c>
      <c r="O14" s="19"/>
      <c r="P14" s="17"/>
      <c r="Q14" s="18"/>
      <c r="R14" s="18">
        <f>R10</f>
        <v>-2.2360679774997898</v>
      </c>
      <c r="S14" s="18">
        <f>R11</f>
        <v>-0.44721359549995793</v>
      </c>
      <c r="T14" s="18">
        <f>R12</f>
        <v>0</v>
      </c>
      <c r="U14" s="23" t="s">
        <v>28</v>
      </c>
      <c r="V14" s="18">
        <f>(V10-V15*S14-T14*V16)/R14</f>
        <v>1</v>
      </c>
      <c r="W14" s="18"/>
      <c r="X14" s="19"/>
      <c r="Y14" s="9"/>
      <c r="Z14" s="9"/>
    </row>
    <row r="15" spans="1:26" x14ac:dyDescent="0.25">
      <c r="A15" s="17"/>
      <c r="B15" s="18">
        <v>0</v>
      </c>
      <c r="C15" s="18">
        <f>C5-$D$11*C3</f>
        <v>1</v>
      </c>
      <c r="D15" s="18">
        <f>D5-$D$11*D3</f>
        <v>5</v>
      </c>
      <c r="E15" s="18"/>
      <c r="F15" s="18"/>
      <c r="G15" s="19"/>
      <c r="H15" s="17"/>
      <c r="I15" s="27" t="s">
        <v>37</v>
      </c>
      <c r="J15" s="18">
        <v>0</v>
      </c>
      <c r="K15" s="18">
        <f>C4-J11*K14</f>
        <v>4.8</v>
      </c>
      <c r="L15" s="18">
        <f>D4-J11*L14</f>
        <v>1</v>
      </c>
      <c r="M15" s="23" t="s">
        <v>29</v>
      </c>
      <c r="N15" s="18">
        <f>(N11-N16*L15)/K15</f>
        <v>2</v>
      </c>
      <c r="O15" s="19"/>
      <c r="P15" s="17"/>
      <c r="Q15" s="18" t="s">
        <v>37</v>
      </c>
      <c r="R15" s="18">
        <f>S10</f>
        <v>0</v>
      </c>
      <c r="S15" s="33">
        <f>S11</f>
        <v>-2.1908902300206643</v>
      </c>
      <c r="T15" s="33">
        <f>S12</f>
        <v>-0.45643546458763845</v>
      </c>
      <c r="U15" s="23" t="s">
        <v>29</v>
      </c>
      <c r="V15" s="18">
        <f>(V11-V16*T15)/S15</f>
        <v>2</v>
      </c>
      <c r="W15" s="18"/>
      <c r="X15" s="19"/>
      <c r="Y15" s="9"/>
      <c r="Z15" s="9"/>
    </row>
    <row r="16" spans="1:26" x14ac:dyDescent="0.25">
      <c r="A16" s="17"/>
      <c r="B16" s="18"/>
      <c r="C16" s="18"/>
      <c r="D16" s="18"/>
      <c r="E16" s="18"/>
      <c r="F16" s="18"/>
      <c r="G16" s="19"/>
      <c r="H16" s="17"/>
      <c r="I16" s="18"/>
      <c r="J16" s="18">
        <v>0</v>
      </c>
      <c r="K16" s="18">
        <v>0</v>
      </c>
      <c r="L16" s="34">
        <f>D5-J12*L14-K12*L15</f>
        <v>4.791666666666667</v>
      </c>
      <c r="M16" s="23" t="s">
        <v>30</v>
      </c>
      <c r="N16" s="18">
        <f>N12/L16</f>
        <v>3</v>
      </c>
      <c r="O16" s="19"/>
      <c r="P16" s="17"/>
      <c r="Q16" s="18"/>
      <c r="R16" s="18">
        <f>T10</f>
        <v>0</v>
      </c>
      <c r="S16" s="18">
        <f>T11</f>
        <v>0</v>
      </c>
      <c r="T16" s="18">
        <f>T12</f>
        <v>-2.188987589427283</v>
      </c>
      <c r="U16" s="23" t="s">
        <v>30</v>
      </c>
      <c r="V16" s="18">
        <f>V12/T16</f>
        <v>2.9999999999999996</v>
      </c>
      <c r="W16" s="18"/>
      <c r="X16" s="19"/>
      <c r="Y16" s="9"/>
      <c r="Z16" s="9"/>
    </row>
    <row r="17" spans="1:26" ht="15.75" thickBot="1" x14ac:dyDescent="0.3">
      <c r="A17" s="17"/>
      <c r="B17" s="18" t="s">
        <v>22</v>
      </c>
      <c r="C17" s="18"/>
      <c r="D17" s="18"/>
      <c r="E17" s="18"/>
      <c r="F17" s="18"/>
      <c r="G17" s="19"/>
      <c r="H17" s="24"/>
      <c r="I17" s="25"/>
      <c r="J17" s="25"/>
      <c r="K17" s="25"/>
      <c r="L17" s="25"/>
      <c r="M17" s="25"/>
      <c r="N17" s="25"/>
      <c r="O17" s="26"/>
      <c r="P17" s="24"/>
      <c r="Q17" s="25"/>
      <c r="R17" s="25"/>
      <c r="S17" s="25"/>
      <c r="T17" s="25"/>
      <c r="U17" s="25"/>
      <c r="V17" s="25"/>
      <c r="W17" s="25"/>
      <c r="X17" s="26"/>
      <c r="Y17" s="9"/>
      <c r="Z17" s="9"/>
    </row>
    <row r="18" spans="1:26" x14ac:dyDescent="0.25">
      <c r="A18" s="17"/>
      <c r="B18" s="18"/>
      <c r="C18" s="18" t="s">
        <v>34</v>
      </c>
      <c r="D18" s="33">
        <f>C15/C14</f>
        <v>0.20833333333333334</v>
      </c>
      <c r="E18" s="18"/>
      <c r="F18" s="18"/>
      <c r="G18" s="18"/>
      <c r="H18" s="13" t="s">
        <v>38</v>
      </c>
      <c r="I18" s="15"/>
      <c r="J18" s="15"/>
      <c r="K18" s="15"/>
      <c r="L18" s="15"/>
      <c r="M18" s="15"/>
      <c r="N18" s="15"/>
      <c r="O18" s="16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x14ac:dyDescent="0.25">
      <c r="A19" s="17"/>
      <c r="B19" s="18"/>
      <c r="C19" s="18"/>
      <c r="D19" s="18"/>
      <c r="E19" s="18"/>
      <c r="F19" s="18"/>
      <c r="G19" s="18"/>
      <c r="H19" s="17"/>
      <c r="I19" s="18" t="s">
        <v>39</v>
      </c>
      <c r="J19" s="18"/>
      <c r="K19" s="18"/>
      <c r="L19" s="18"/>
      <c r="M19" s="18"/>
      <c r="N19" s="18"/>
      <c r="O19" s="1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x14ac:dyDescent="0.25">
      <c r="A20" s="17"/>
      <c r="B20" s="18">
        <f>B13</f>
        <v>5</v>
      </c>
      <c r="C20" s="18">
        <f t="shared" ref="C20:D21" si="2">C13</f>
        <v>1</v>
      </c>
      <c r="D20" s="18">
        <f t="shared" si="2"/>
        <v>0</v>
      </c>
      <c r="E20" s="23" t="s">
        <v>28</v>
      </c>
      <c r="F20" s="18">
        <f>(F24-F21*C20-D20*F22)/B20</f>
        <v>1</v>
      </c>
      <c r="G20" s="18"/>
      <c r="H20" s="17"/>
      <c r="I20" s="18"/>
      <c r="J20" s="18"/>
      <c r="K20" s="18"/>
      <c r="L20" s="18"/>
      <c r="M20" s="18"/>
      <c r="N20" s="18"/>
      <c r="O20" s="1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x14ac:dyDescent="0.25">
      <c r="A21" s="22" t="s">
        <v>24</v>
      </c>
      <c r="B21" s="18">
        <f>B14</f>
        <v>0</v>
      </c>
      <c r="C21" s="18">
        <f t="shared" si="2"/>
        <v>4.8</v>
      </c>
      <c r="D21" s="18">
        <f t="shared" si="2"/>
        <v>1</v>
      </c>
      <c r="E21" s="23" t="s">
        <v>29</v>
      </c>
      <c r="F21" s="18">
        <f>(F25-F22*D21)/C21</f>
        <v>2</v>
      </c>
      <c r="G21" s="18"/>
      <c r="H21" s="17"/>
      <c r="I21" s="18"/>
      <c r="J21" s="18"/>
      <c r="K21" s="18"/>
      <c r="L21" s="18"/>
      <c r="M21" s="18"/>
      <c r="N21" s="18"/>
      <c r="O21" s="1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x14ac:dyDescent="0.25">
      <c r="A22" s="17"/>
      <c r="B22" s="18">
        <v>0</v>
      </c>
      <c r="C22" s="18">
        <v>0</v>
      </c>
      <c r="D22" s="34">
        <f>D15-D18*D14</f>
        <v>4.791666666666667</v>
      </c>
      <c r="E22" s="23" t="s">
        <v>30</v>
      </c>
      <c r="F22" s="18">
        <f>F26/D22</f>
        <v>3</v>
      </c>
      <c r="G22" s="18"/>
      <c r="H22" s="17"/>
      <c r="I22" s="27" t="s">
        <v>36</v>
      </c>
      <c r="J22" s="18">
        <f>B3</f>
        <v>5</v>
      </c>
      <c r="K22" s="18">
        <v>0</v>
      </c>
      <c r="L22" s="18">
        <v>0</v>
      </c>
      <c r="M22" s="23" t="s">
        <v>25</v>
      </c>
      <c r="N22" s="18">
        <f>$E$3/J22</f>
        <v>1.4</v>
      </c>
      <c r="O22" s="1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x14ac:dyDescent="0.25">
      <c r="A23" s="17"/>
      <c r="B23" s="18"/>
      <c r="C23" s="18"/>
      <c r="D23" s="18"/>
      <c r="E23" s="18"/>
      <c r="F23" s="18"/>
      <c r="G23" s="18"/>
      <c r="H23" s="17"/>
      <c r="I23" s="18"/>
      <c r="J23" s="18">
        <f>B4</f>
        <v>1</v>
      </c>
      <c r="K23" s="18">
        <f>C4-J23*K26</f>
        <v>4.8</v>
      </c>
      <c r="L23" s="18">
        <v>0</v>
      </c>
      <c r="M23" s="23" t="s">
        <v>26</v>
      </c>
      <c r="N23" s="18">
        <f>($E$4-N22*J23)/K23</f>
        <v>2.625</v>
      </c>
      <c r="O23" s="1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x14ac:dyDescent="0.25">
      <c r="A24" s="17"/>
      <c r="B24" s="18">
        <v>1</v>
      </c>
      <c r="C24" s="18">
        <v>0</v>
      </c>
      <c r="D24" s="18">
        <v>0</v>
      </c>
      <c r="E24" s="23" t="s">
        <v>25</v>
      </c>
      <c r="F24" s="18">
        <f>$E$3</f>
        <v>7</v>
      </c>
      <c r="G24" s="18"/>
      <c r="H24" s="17"/>
      <c r="I24" s="18"/>
      <c r="J24" s="18">
        <f>B5</f>
        <v>0</v>
      </c>
      <c r="K24" s="18">
        <f>C5-J24*K26</f>
        <v>1</v>
      </c>
      <c r="L24" s="34">
        <f>D5-J24*L26-K24*L27</f>
        <v>4.791666666666667</v>
      </c>
      <c r="M24" s="23" t="s">
        <v>27</v>
      </c>
      <c r="N24" s="18">
        <f>($E$5-N22*J24-N23*K24)/L24</f>
        <v>3</v>
      </c>
      <c r="O24" s="1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x14ac:dyDescent="0.25">
      <c r="A25" s="22" t="s">
        <v>23</v>
      </c>
      <c r="B25" s="18">
        <f>D10</f>
        <v>0.2</v>
      </c>
      <c r="C25" s="18">
        <v>1</v>
      </c>
      <c r="D25" s="18">
        <v>0</v>
      </c>
      <c r="E25" s="23" t="s">
        <v>26</v>
      </c>
      <c r="F25" s="18">
        <f>($E$4-F24*B25)</f>
        <v>12.6</v>
      </c>
      <c r="G25" s="18"/>
      <c r="H25" s="17"/>
      <c r="I25" s="18"/>
      <c r="J25" s="18"/>
      <c r="K25" s="18"/>
      <c r="L25" s="18"/>
      <c r="M25" s="18"/>
      <c r="N25" s="18"/>
      <c r="O25" s="1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x14ac:dyDescent="0.25">
      <c r="A26" s="17"/>
      <c r="B26" s="18">
        <f>D11</f>
        <v>0</v>
      </c>
      <c r="C26" s="33">
        <f>D18</f>
        <v>0.20833333333333334</v>
      </c>
      <c r="D26" s="18">
        <v>1</v>
      </c>
      <c r="E26" s="23" t="s">
        <v>27</v>
      </c>
      <c r="F26" s="18">
        <f>($E$5-F24*B26-F25*C26)</f>
        <v>14.375</v>
      </c>
      <c r="G26" s="18"/>
      <c r="H26" s="17"/>
      <c r="I26" s="27" t="s">
        <v>37</v>
      </c>
      <c r="J26" s="18">
        <v>1</v>
      </c>
      <c r="K26" s="18">
        <f>C3/J22</f>
        <v>0.2</v>
      </c>
      <c r="L26" s="18">
        <f>D3/J22</f>
        <v>0</v>
      </c>
      <c r="M26" s="23" t="s">
        <v>28</v>
      </c>
      <c r="N26" s="18">
        <f>(N22-N27*K26-L26*N28)/J26</f>
        <v>0.99999999999999989</v>
      </c>
      <c r="O26" s="1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5.75" thickBot="1" x14ac:dyDescent="0.3">
      <c r="A27" s="24"/>
      <c r="B27" s="25"/>
      <c r="C27" s="25"/>
      <c r="D27" s="25"/>
      <c r="E27" s="25"/>
      <c r="F27" s="25"/>
      <c r="G27" s="25"/>
      <c r="H27" s="17"/>
      <c r="I27" s="18"/>
      <c r="J27" s="18">
        <v>0</v>
      </c>
      <c r="K27" s="18">
        <v>1</v>
      </c>
      <c r="L27" s="33">
        <f>(D4-J23*L26)/K23</f>
        <v>0.20833333333333334</v>
      </c>
      <c r="M27" s="23" t="s">
        <v>29</v>
      </c>
      <c r="N27" s="18">
        <f>(N23-N28*L27)/K27</f>
        <v>2</v>
      </c>
      <c r="O27" s="1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x14ac:dyDescent="0.25">
      <c r="A28" s="9"/>
      <c r="B28" s="9"/>
      <c r="C28" s="9"/>
      <c r="D28" s="9"/>
      <c r="E28" s="9"/>
      <c r="F28" s="9"/>
      <c r="G28" s="9"/>
      <c r="H28" s="17"/>
      <c r="I28" s="18"/>
      <c r="J28" s="18">
        <v>0</v>
      </c>
      <c r="K28" s="18">
        <v>0</v>
      </c>
      <c r="L28" s="18">
        <v>1</v>
      </c>
      <c r="M28" s="23" t="s">
        <v>30</v>
      </c>
      <c r="N28" s="18">
        <f>N24/L28</f>
        <v>3</v>
      </c>
      <c r="O28" s="1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5.75" thickBot="1" x14ac:dyDescent="0.3">
      <c r="A29" s="9"/>
      <c r="B29" s="9"/>
      <c r="C29" s="9"/>
      <c r="D29" s="9"/>
      <c r="E29" s="9"/>
      <c r="F29" s="9"/>
      <c r="G29" s="9"/>
      <c r="H29" s="24"/>
      <c r="I29" s="25"/>
      <c r="J29" s="25"/>
      <c r="K29" s="25"/>
      <c r="L29" s="25"/>
      <c r="M29" s="25"/>
      <c r="N29" s="25"/>
      <c r="O29" s="26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x14ac:dyDescent="0.2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x14ac:dyDescent="0.2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x14ac:dyDescent="0.2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x14ac:dyDescent="0.2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x14ac:dyDescent="0.2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x14ac:dyDescent="0.2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x14ac:dyDescent="0.2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x14ac:dyDescent="0.2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x14ac:dyDescent="0.2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x14ac:dyDescent="0.2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x14ac:dyDescent="0.2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x14ac:dyDescent="0.2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x14ac:dyDescent="0.2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x14ac:dyDescent="0.2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Q1 and Q2</vt:lpstr>
      <vt:lpstr>Q3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shivam</dc:creator>
  <cp:lastModifiedBy>shivam</cp:lastModifiedBy>
  <dcterms:created xsi:type="dcterms:W3CDTF">2016-08-14T14:59:10Z</dcterms:created>
  <dcterms:modified xsi:type="dcterms:W3CDTF">2016-09-01T08:42:40Z</dcterms:modified>
</cp:coreProperties>
</file>